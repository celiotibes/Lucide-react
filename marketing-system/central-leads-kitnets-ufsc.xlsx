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Campanhas" sheetId="2" state="visible" r:id="rId2"/>
    <sheet xmlns:r="http://schemas.openxmlformats.org/officeDocument/2006/relationships" name="Painel" sheetId="3" state="visible" r:id="rId3"/>
    <sheet xmlns:r="http://schemas.openxmlformats.org/officeDocument/2006/relationships" name="Instru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2420"/>
      <sz val="14"/>
    </font>
    <font>
      <i val="1"/>
      <color rgb="004B564E"/>
      <sz val="10"/>
    </font>
    <font>
      <b val="1"/>
      <color rgb="00FFFFFF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6F63"/>
      </patternFill>
    </fill>
  </fills>
  <borders count="2">
    <border>
      <left/>
      <right/>
      <top/>
      <bottom/>
      <diagonal/>
    </border>
    <border>
      <left style="thin">
        <color rgb="00D9DED7"/>
      </left>
      <right style="thin">
        <color rgb="00D9DED7"/>
      </right>
      <top style="thin">
        <color rgb="00D9DED7"/>
      </top>
      <bottom style="thin">
        <color rgb="00D9DED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5" customWidth="1" min="4" max="4"/>
    <col width="20" customWidth="1" min="5" max="5"/>
    <col width="13" customWidth="1" min="6" max="6"/>
    <col width="22" customWidth="1" min="7" max="7"/>
    <col width="15" customWidth="1" min="8" max="8"/>
    <col width="16" customWidth="1" min="9" max="9"/>
    <col width="16" customWidth="1" min="10" max="10"/>
    <col width="12" customWidth="1" min="11" max="11"/>
    <col width="20" customWidth="1" min="12" max="12"/>
    <col width="14" customWidth="1" min="13" max="13"/>
    <col width="10" customWidth="1" min="14" max="14"/>
    <col width="15" customWidth="1" min="15" max="15"/>
    <col width="32" customWidth="1" min="16" max="16"/>
    <col width="13" customWidth="1" min="17" max="17"/>
  </cols>
  <sheetData>
    <row r="1">
      <c r="A1" s="1" t="inlineStr">
        <is>
          <t>CONTROLE DE LEADS — Kitnets &amp; Apartamentos UFSC</t>
        </is>
      </c>
    </row>
    <row r="2">
      <c r="A2" s="2" t="inlineStr">
        <is>
          <t>Preencher as colunas A–I a cada novo lead (L e M com dados da campanha do dia). As demais calculam sozinhas.</t>
        </is>
      </c>
    </row>
    <row r="4">
      <c r="A4" s="3" t="inlineStr">
        <is>
          <t>ID_Lead</t>
        </is>
      </c>
      <c r="B4" s="3" t="inlineStr">
        <is>
          <t>Data_Entrada</t>
        </is>
      </c>
      <c r="C4" s="3" t="inlineStr">
        <is>
          <t>Nome</t>
        </is>
      </c>
      <c r="D4" s="3" t="inlineStr">
        <is>
          <t>WhatsApp</t>
        </is>
      </c>
      <c r="E4" s="3" t="inlineStr">
        <is>
          <t>Canal_Origem</t>
        </is>
      </c>
      <c r="F4" s="3" t="inlineStr">
        <is>
          <t>Público</t>
        </is>
      </c>
      <c r="G4" s="3" t="inlineStr">
        <is>
          <t>Unidade_Interesse</t>
        </is>
      </c>
      <c r="H4" s="3" t="inlineStr">
        <is>
          <t>Status_Funil</t>
        </is>
      </c>
      <c r="I4" s="3" t="inlineStr">
        <is>
          <t>Data_Ultimo_Contato</t>
        </is>
      </c>
      <c r="J4" s="3" t="inlineStr">
        <is>
          <t>Minutos_p/_1a_Resposta</t>
        </is>
      </c>
      <c r="K4" s="3" t="inlineStr">
        <is>
          <t>Alerta_SLA</t>
        </is>
      </c>
      <c r="L4" s="3" t="inlineStr">
        <is>
          <t>Investimento_Campanha_Dia (R$)</t>
        </is>
      </c>
      <c r="M4" s="3" t="inlineStr">
        <is>
          <t>Leads_Campanha_Dia</t>
        </is>
      </c>
      <c r="N4" s="3" t="inlineStr">
        <is>
          <t>CPL (R$)</t>
        </is>
      </c>
      <c r="O4" s="3" t="inlineStr">
        <is>
          <t>Próximo_Follow_Up</t>
        </is>
      </c>
      <c r="P4" s="3" t="inlineStr">
        <is>
          <t>Ação_Sugerida</t>
        </is>
      </c>
      <c r="Q4" s="3" t="inlineStr">
        <is>
          <t>Alerta_Enviado</t>
        </is>
      </c>
    </row>
    <row r="5">
      <c r="A5" s="4" t="inlineStr">
        <is>
          <t>L2026-001</t>
        </is>
      </c>
      <c r="B5" s="4">
        <f>NOW()-3/24</f>
        <v/>
      </c>
      <c r="C5" s="4" t="inlineStr">
        <is>
          <t>João Silva</t>
        </is>
      </c>
      <c r="D5" s="4" t="inlineStr">
        <is>
          <t>5548999990001</t>
        </is>
      </c>
      <c r="E5" s="4" t="inlineStr">
        <is>
          <t>Meta Ads - Estudante</t>
        </is>
      </c>
      <c r="F5" s="4" t="inlineStr">
        <is>
          <t>Estudante</t>
        </is>
      </c>
      <c r="G5" s="4" t="inlineStr">
        <is>
          <t>Pottker 25 - Kitnet 6</t>
        </is>
      </c>
      <c r="H5" s="4" t="inlineStr">
        <is>
          <t>Visitou</t>
        </is>
      </c>
      <c r="I5" s="4">
        <f>NOW()-1</f>
        <v/>
      </c>
      <c r="J5" s="4">
        <f>IFERROR(IF(H5="Novo",(NOW()-B5)*1440,""),"")</f>
        <v/>
      </c>
      <c r="K5" s="4">
        <f>IFS(H5&lt;&gt;"Novo","—",J5="","—",J5&gt;10,"🔴 ATRASADO",TRUE,"🟢 no prazo")</f>
        <v/>
      </c>
      <c r="L5" s="5" t="n">
        <v>300</v>
      </c>
      <c r="M5" s="4" t="n">
        <v>60</v>
      </c>
      <c r="N5" s="5">
        <f>IFERROR(IF(M5&gt;0,L5/M5,0),0)</f>
        <v/>
      </c>
      <c r="O5" s="4">
        <f>IFS(H5="Visitou",I5+1,H5="Fechado","—",AND(H5&lt;&gt;"Fechado",H5&lt;&gt;"Perdido",I5&lt;&gt;""),I5+3,TRUE,"")</f>
        <v/>
      </c>
      <c r="P5" s="4">
        <f>IFS(H5="Novo","Responder agora via WhatsApp",H5="Visitou","Enviar oferta de fechamento em 24h",H5="Fechado","Agendar pedido de review em 15 dias",H5="Perdido","Mover para lista de espera sazonal",TRUE,"Aguardando retorno do lead")</f>
        <v/>
      </c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>
        <f>IFERROR(IF(H6="Novo",(NOW()-B6)*1440,""),"")</f>
        <v/>
      </c>
      <c r="K6" s="4">
        <f>IFS(H6&lt;&gt;"Novo","—",J6="","—",J6&gt;10,"🔴 ATRASADO",TRUE,"🟢 no prazo")</f>
        <v/>
      </c>
      <c r="L6" s="5" t="n"/>
      <c r="M6" s="4" t="n"/>
      <c r="N6" s="5">
        <f>IFERROR(IF(M6&gt;0,L6/M6,0),0)</f>
        <v/>
      </c>
      <c r="O6" s="4">
        <f>IFS(H6="Visitou",I6+1,H6="Fechado","—",AND(H6&lt;&gt;"Fechado",H6&lt;&gt;"Perdido",I6&lt;&gt;""),I6+3,TRUE,"")</f>
        <v/>
      </c>
      <c r="P6" s="4">
        <f>IFS(H6="Novo","Responder agora via WhatsApp",H6="Visitou","Enviar oferta de fechamento em 24h",H6="Fechado","Agendar pedido de review em 15 dias",H6="Perdido","Mover para lista de espera sazonal",TRUE,"Aguardando retorno do lead")</f>
        <v/>
      </c>
      <c r="Q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>
        <f>IFERROR(IF(H7="Novo",(NOW()-B7)*1440,""),"")</f>
        <v/>
      </c>
      <c r="K7" s="4">
        <f>IFS(H7&lt;&gt;"Novo","—",J7="","—",J7&gt;10,"🔴 ATRASADO",TRUE,"🟢 no prazo")</f>
        <v/>
      </c>
      <c r="L7" s="5" t="n"/>
      <c r="M7" s="4" t="n"/>
      <c r="N7" s="5">
        <f>IFERROR(IF(M7&gt;0,L7/M7,0),0)</f>
        <v/>
      </c>
      <c r="O7" s="4">
        <f>IFS(H7="Visitou",I7+1,H7="Fechado","—",AND(H7&lt;&gt;"Fechado",H7&lt;&gt;"Perdido",I7&lt;&gt;""),I7+3,TRUE,"")</f>
        <v/>
      </c>
      <c r="P7" s="4">
        <f>IFS(H7="Novo","Responder agora via WhatsApp",H7="Visitou","Enviar oferta de fechamento em 24h",H7="Fechado","Agendar pedido de review em 15 dias",H7="Perdido","Mover para lista de espera sazonal",TRUE,"Aguardando retorno do lead")</f>
        <v/>
      </c>
      <c r="Q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>
        <f>IFERROR(IF(H8="Novo",(NOW()-B8)*1440,""),"")</f>
        <v/>
      </c>
      <c r="K8" s="4">
        <f>IFS(H8&lt;&gt;"Novo","—",J8="","—",J8&gt;10,"🔴 ATRASADO",TRUE,"🟢 no prazo")</f>
        <v/>
      </c>
      <c r="L8" s="5" t="n"/>
      <c r="M8" s="4" t="n"/>
      <c r="N8" s="5">
        <f>IFERROR(IF(M8&gt;0,L8/M8,0),0)</f>
        <v/>
      </c>
      <c r="O8" s="4">
        <f>IFS(H8="Visitou",I8+1,H8="Fechado","—",AND(H8&lt;&gt;"Fechado",H8&lt;&gt;"Perdido",I8&lt;&gt;""),I8+3,TRUE,"")</f>
        <v/>
      </c>
      <c r="P8" s="4">
        <f>IFS(H8="Novo","Responder agora via WhatsApp",H8="Visitou","Enviar oferta de fechamento em 24h",H8="Fechado","Agendar pedido de review em 15 dias",H8="Perdido","Mover para lista de espera sazonal",TRUE,"Aguardando retorno do lead")</f>
        <v/>
      </c>
      <c r="Q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>
        <f>IFERROR(IF(H9="Novo",(NOW()-B9)*1440,""),"")</f>
        <v/>
      </c>
      <c r="K9" s="4">
        <f>IFS(H9&lt;&gt;"Novo","—",J9="","—",J9&gt;10,"🔴 ATRASADO",TRUE,"🟢 no prazo")</f>
        <v/>
      </c>
      <c r="L9" s="5" t="n"/>
      <c r="M9" s="4" t="n"/>
      <c r="N9" s="5">
        <f>IFERROR(IF(M9&gt;0,L9/M9,0),0)</f>
        <v/>
      </c>
      <c r="O9" s="4">
        <f>IFS(H9="Visitou",I9+1,H9="Fechado","—",AND(H9&lt;&gt;"Fechado",H9&lt;&gt;"Perdido",I9&lt;&gt;""),I9+3,TRUE,"")</f>
        <v/>
      </c>
      <c r="P9" s="4">
        <f>IFS(H9="Novo","Responder agora via WhatsApp",H9="Visitou","Enviar oferta de fechamento em 24h",H9="Fechado","Agendar pedido de review em 15 dias",H9="Perdido","Mover para lista de espera sazonal",TRUE,"Aguardando retorno do lead")</f>
        <v/>
      </c>
      <c r="Q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>
        <f>IFERROR(IF(H10="Novo",(NOW()-B10)*1440,""),"")</f>
        <v/>
      </c>
      <c r="K10" s="4">
        <f>IFS(H10&lt;&gt;"Novo","—",J10="","—",J10&gt;10,"🔴 ATRASADO",TRUE,"🟢 no prazo")</f>
        <v/>
      </c>
      <c r="L10" s="5" t="n"/>
      <c r="M10" s="4" t="n"/>
      <c r="N10" s="5">
        <f>IFERROR(IF(M10&gt;0,L10/M10,0),0)</f>
        <v/>
      </c>
      <c r="O10" s="4">
        <f>IFS(H10="Visitou",I10+1,H10="Fechado","—",AND(H10&lt;&gt;"Fechado",H10&lt;&gt;"Perdido",I10&lt;&gt;""),I10+3,TRUE,"")</f>
        <v/>
      </c>
      <c r="P10" s="4">
        <f>IFS(H10="Novo","Responder agora via WhatsApp",H10="Visitou","Enviar oferta de fechamento em 24h",H10="Fechado","Agendar pedido de review em 15 dias",H10="Perdido","Mover para lista de espera sazonal",TRUE,"Aguardando retorno do lead")</f>
        <v/>
      </c>
      <c r="Q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>
        <f>IFERROR(IF(H11="Novo",(NOW()-B11)*1440,""),"")</f>
        <v/>
      </c>
      <c r="K11" s="4">
        <f>IFS(H11&lt;&gt;"Novo","—",J11="","—",J11&gt;10,"🔴 ATRASADO",TRUE,"🟢 no prazo")</f>
        <v/>
      </c>
      <c r="L11" s="5" t="n"/>
      <c r="M11" s="4" t="n"/>
      <c r="N11" s="5">
        <f>IFERROR(IF(M11&gt;0,L11/M11,0),0)</f>
        <v/>
      </c>
      <c r="O11" s="4">
        <f>IFS(H11="Visitou",I11+1,H11="Fechado","—",AND(H11&lt;&gt;"Fechado",H11&lt;&gt;"Perdido",I11&lt;&gt;""),I11+3,TRUE,"")</f>
        <v/>
      </c>
      <c r="P11" s="4">
        <f>IFS(H11="Novo","Responder agora via WhatsApp",H11="Visitou","Enviar oferta de fechamento em 24h",H11="Fechado","Agendar pedido de review em 15 dias",H11="Perdido","Mover para lista de espera sazonal",TRUE,"Aguardando retorno do lead")</f>
        <v/>
      </c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>
        <f>IFERROR(IF(H12="Novo",(NOW()-B12)*1440,""),"")</f>
        <v/>
      </c>
      <c r="K12" s="4">
        <f>IFS(H12&lt;&gt;"Novo","—",J12="","—",J12&gt;10,"🔴 ATRASADO",TRUE,"🟢 no prazo")</f>
        <v/>
      </c>
      <c r="L12" s="5" t="n"/>
      <c r="M12" s="4" t="n"/>
      <c r="N12" s="5">
        <f>IFERROR(IF(M12&gt;0,L12/M12,0),0)</f>
        <v/>
      </c>
      <c r="O12" s="4">
        <f>IFS(H12="Visitou",I12+1,H12="Fechado","—",AND(H12&lt;&gt;"Fechado",H12&lt;&gt;"Perdido",I12&lt;&gt;""),I12+3,TRUE,"")</f>
        <v/>
      </c>
      <c r="P12" s="4">
        <f>IFS(H12="Novo","Responder agora via WhatsApp",H12="Visitou","Enviar oferta de fechamento em 24h",H12="Fechado","Agendar pedido de review em 15 dias",H12="Perdido","Mover para lista de espera sazonal",TRUE,"Aguardando retorno do lead")</f>
        <v/>
      </c>
      <c r="Q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>
        <f>IFERROR(IF(H13="Novo",(NOW()-B13)*1440,""),"")</f>
        <v/>
      </c>
      <c r="K13" s="4">
        <f>IFS(H13&lt;&gt;"Novo","—",J13="","—",J13&gt;10,"🔴 ATRASADO",TRUE,"🟢 no prazo")</f>
        <v/>
      </c>
      <c r="L13" s="5" t="n"/>
      <c r="M13" s="4" t="n"/>
      <c r="N13" s="5">
        <f>IFERROR(IF(M13&gt;0,L13/M13,0),0)</f>
        <v/>
      </c>
      <c r="O13" s="4">
        <f>IFS(H13="Visitou",I13+1,H13="Fechado","—",AND(H13&lt;&gt;"Fechado",H13&lt;&gt;"Perdido",I13&lt;&gt;""),I13+3,TRUE,"")</f>
        <v/>
      </c>
      <c r="P13" s="4">
        <f>IFS(H13="Novo","Responder agora via WhatsApp",H13="Visitou","Enviar oferta de fechamento em 24h",H13="Fechado","Agendar pedido de review em 15 dias",H13="Perdido","Mover para lista de espera sazonal",TRUE,"Aguardando retorno do lead")</f>
        <v/>
      </c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>
        <f>IFERROR(IF(H14="Novo",(NOW()-B14)*1440,""),"")</f>
        <v/>
      </c>
      <c r="K14" s="4">
        <f>IFS(H14&lt;&gt;"Novo","—",J14="","—",J14&gt;10,"🔴 ATRASADO",TRUE,"🟢 no prazo")</f>
        <v/>
      </c>
      <c r="L14" s="5" t="n"/>
      <c r="M14" s="4" t="n"/>
      <c r="N14" s="5">
        <f>IFERROR(IF(M14&gt;0,L14/M14,0),0)</f>
        <v/>
      </c>
      <c r="O14" s="4">
        <f>IFS(H14="Visitou",I14+1,H14="Fechado","—",AND(H14&lt;&gt;"Fechado",H14&lt;&gt;"Perdido",I14&lt;&gt;""),I14+3,TRUE,"")</f>
        <v/>
      </c>
      <c r="P14" s="4">
        <f>IFS(H14="Novo","Responder agora via WhatsApp",H14="Visitou","Enviar oferta de fechamento em 24h",H14="Fechado","Agendar pedido de review em 15 dias",H14="Perdido","Mover para lista de espera sazonal",TRUE,"Aguardando retorno do lead")</f>
        <v/>
      </c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>
        <f>IFERROR(IF(H15="Novo",(NOW()-B15)*1440,""),"")</f>
        <v/>
      </c>
      <c r="K15" s="4">
        <f>IFS(H15&lt;&gt;"Novo","—",J15="","—",J15&gt;10,"🔴 ATRASADO",TRUE,"🟢 no prazo")</f>
        <v/>
      </c>
      <c r="L15" s="5" t="n"/>
      <c r="M15" s="4" t="n"/>
      <c r="N15" s="5">
        <f>IFERROR(IF(M15&gt;0,L15/M15,0),0)</f>
        <v/>
      </c>
      <c r="O15" s="4">
        <f>IFS(H15="Visitou",I15+1,H15="Fechado","—",AND(H15&lt;&gt;"Fechado",H15&lt;&gt;"Perdido",I15&lt;&gt;""),I15+3,TRUE,"")</f>
        <v/>
      </c>
      <c r="P15" s="4">
        <f>IFS(H15="Novo","Responder agora via WhatsApp",H15="Visitou","Enviar oferta de fechamento em 24h",H15="Fechado","Agendar pedido de review em 15 dias",H15="Perdido","Mover para lista de espera sazonal",TRUE,"Aguardando retorno do lead")</f>
        <v/>
      </c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>
        <f>IFERROR(IF(H16="Novo",(NOW()-B16)*1440,""),"")</f>
        <v/>
      </c>
      <c r="K16" s="4">
        <f>IFS(H16&lt;&gt;"Novo","—",J16="","—",J16&gt;10,"🔴 ATRASADO",TRUE,"🟢 no prazo")</f>
        <v/>
      </c>
      <c r="L16" s="5" t="n"/>
      <c r="M16" s="4" t="n"/>
      <c r="N16" s="5">
        <f>IFERROR(IF(M16&gt;0,L16/M16,0),0)</f>
        <v/>
      </c>
      <c r="O16" s="4">
        <f>IFS(H16="Visitou",I16+1,H16="Fechado","—",AND(H16&lt;&gt;"Fechado",H16&lt;&gt;"Perdido",I16&lt;&gt;""),I16+3,TRUE,"")</f>
        <v/>
      </c>
      <c r="P16" s="4">
        <f>IFS(H16="Novo","Responder agora via WhatsApp",H16="Visitou","Enviar oferta de fechamento em 24h",H16="Fechado","Agendar pedido de review em 15 dias",H16="Perdido","Mover para lista de espera sazonal",TRUE,"Aguardando retorno do lead")</f>
        <v/>
      </c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>
        <f>IFERROR(IF(H17="Novo",(NOW()-B17)*1440,""),"")</f>
        <v/>
      </c>
      <c r="K17" s="4">
        <f>IFS(H17&lt;&gt;"Novo","—",J17="","—",J17&gt;10,"🔴 ATRASADO",TRUE,"🟢 no prazo")</f>
        <v/>
      </c>
      <c r="L17" s="5" t="n"/>
      <c r="M17" s="4" t="n"/>
      <c r="N17" s="5">
        <f>IFERROR(IF(M17&gt;0,L17/M17,0),0)</f>
        <v/>
      </c>
      <c r="O17" s="4">
        <f>IFS(H17="Visitou",I17+1,H17="Fechado","—",AND(H17&lt;&gt;"Fechado",H17&lt;&gt;"Perdido",I17&lt;&gt;""),I17+3,TRUE,"")</f>
        <v/>
      </c>
      <c r="P17" s="4">
        <f>IFS(H17="Novo","Responder agora via WhatsApp",H17="Visitou","Enviar oferta de fechamento em 24h",H17="Fechado","Agendar pedido de review em 15 dias",H17="Perdido","Mover para lista de espera sazonal",TRUE,"Aguardando retorno do lead")</f>
        <v/>
      </c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>
        <f>IFERROR(IF(H18="Novo",(NOW()-B18)*1440,""),"")</f>
        <v/>
      </c>
      <c r="K18" s="4">
        <f>IFS(H18&lt;&gt;"Novo","—",J18="","—",J18&gt;10,"🔴 ATRASADO",TRUE,"🟢 no prazo")</f>
        <v/>
      </c>
      <c r="L18" s="5" t="n"/>
      <c r="M18" s="4" t="n"/>
      <c r="N18" s="5">
        <f>IFERROR(IF(M18&gt;0,L18/M18,0),0)</f>
        <v/>
      </c>
      <c r="O18" s="4">
        <f>IFS(H18="Visitou",I18+1,H18="Fechado","—",AND(H18&lt;&gt;"Fechado",H18&lt;&gt;"Perdido",I18&lt;&gt;""),I18+3,TRUE,"")</f>
        <v/>
      </c>
      <c r="P18" s="4">
        <f>IFS(H18="Novo","Responder agora via WhatsApp",H18="Visitou","Enviar oferta de fechamento em 24h",H18="Fechado","Agendar pedido de review em 15 dias",H18="Perdido","Mover para lista de espera sazonal",TRUE,"Aguardando retorno do lead")</f>
        <v/>
      </c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>
        <f>IFERROR(IF(H19="Novo",(NOW()-B19)*1440,""),"")</f>
        <v/>
      </c>
      <c r="K19" s="4">
        <f>IFS(H19&lt;&gt;"Novo","—",J19="","—",J19&gt;10,"🔴 ATRASADO",TRUE,"🟢 no prazo")</f>
        <v/>
      </c>
      <c r="L19" s="5" t="n"/>
      <c r="M19" s="4" t="n"/>
      <c r="N19" s="5">
        <f>IFERROR(IF(M19&gt;0,L19/M19,0),0)</f>
        <v/>
      </c>
      <c r="O19" s="4">
        <f>IFS(H19="Visitou",I19+1,H19="Fechado","—",AND(H19&lt;&gt;"Fechado",H19&lt;&gt;"Perdido",I19&lt;&gt;""),I19+3,TRUE,"")</f>
        <v/>
      </c>
      <c r="P19" s="4">
        <f>IFS(H19="Novo","Responder agora via WhatsApp",H19="Visitou","Enviar oferta de fechamento em 24h",H19="Fechado","Agendar pedido de review em 15 dias",H19="Perdido","Mover para lista de espera sazonal",TRUE,"Aguardando retorno do lead")</f>
        <v/>
      </c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>
        <f>IFERROR(IF(H20="Novo",(NOW()-B20)*1440,""),"")</f>
        <v/>
      </c>
      <c r="K20" s="4">
        <f>IFS(H20&lt;&gt;"Novo","—",J20="","—",J20&gt;10,"🔴 ATRASADO",TRUE,"🟢 no prazo")</f>
        <v/>
      </c>
      <c r="L20" s="5" t="n"/>
      <c r="M20" s="4" t="n"/>
      <c r="N20" s="5">
        <f>IFERROR(IF(M20&gt;0,L20/M20,0),0)</f>
        <v/>
      </c>
      <c r="O20" s="4">
        <f>IFS(H20="Visitou",I20+1,H20="Fechado","—",AND(H20&lt;&gt;"Fechado",H20&lt;&gt;"Perdido",I20&lt;&gt;""),I20+3,TRUE,"")</f>
        <v/>
      </c>
      <c r="P20" s="4">
        <f>IFS(H20="Novo","Responder agora via WhatsApp",H20="Visitou","Enviar oferta de fechamento em 24h",H20="Fechado","Agendar pedido de review em 15 dias",H20="Perdido","Mover para lista de espera sazonal",TRUE,"Aguardando retorno do lead")</f>
        <v/>
      </c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>
        <f>IFERROR(IF(H21="Novo",(NOW()-B21)*1440,""),"")</f>
        <v/>
      </c>
      <c r="K21" s="4">
        <f>IFS(H21&lt;&gt;"Novo","—",J21="","—",J21&gt;10,"🔴 ATRASADO",TRUE,"🟢 no prazo")</f>
        <v/>
      </c>
      <c r="L21" s="5" t="n"/>
      <c r="M21" s="4" t="n"/>
      <c r="N21" s="5">
        <f>IFERROR(IF(M21&gt;0,L21/M21,0),0)</f>
        <v/>
      </c>
      <c r="O21" s="4">
        <f>IFS(H21="Visitou",I21+1,H21="Fechado","—",AND(H21&lt;&gt;"Fechado",H21&lt;&gt;"Perdido",I21&lt;&gt;""),I21+3,TRUE,"")</f>
        <v/>
      </c>
      <c r="P21" s="4">
        <f>IFS(H21="Novo","Responder agora via WhatsApp",H21="Visitou","Enviar oferta de fechamento em 24h",H21="Fechado","Agendar pedido de review em 15 dias",H21="Perdido","Mover para lista de espera sazonal",TRUE,"Aguardando retorno do lead")</f>
        <v/>
      </c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>
        <f>IFERROR(IF(H22="Novo",(NOW()-B22)*1440,""),"")</f>
        <v/>
      </c>
      <c r="K22" s="4">
        <f>IFS(H22&lt;&gt;"Novo","—",J22="","—",J22&gt;10,"🔴 ATRASADO",TRUE,"🟢 no prazo")</f>
        <v/>
      </c>
      <c r="L22" s="5" t="n"/>
      <c r="M22" s="4" t="n"/>
      <c r="N22" s="5">
        <f>IFERROR(IF(M22&gt;0,L22/M22,0),0)</f>
        <v/>
      </c>
      <c r="O22" s="4">
        <f>IFS(H22="Visitou",I22+1,H22="Fechado","—",AND(H22&lt;&gt;"Fechado",H22&lt;&gt;"Perdido",I22&lt;&gt;""),I22+3,TRUE,"")</f>
        <v/>
      </c>
      <c r="P22" s="4">
        <f>IFS(H22="Novo","Responder agora via WhatsApp",H22="Visitou","Enviar oferta de fechamento em 24h",H22="Fechado","Agendar pedido de review em 15 dias",H22="Perdido","Mover para lista de espera sazonal",TRUE,"Aguardando retorno do lead")</f>
        <v/>
      </c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>
        <f>IFERROR(IF(H23="Novo",(NOW()-B23)*1440,""),"")</f>
        <v/>
      </c>
      <c r="K23" s="4">
        <f>IFS(H23&lt;&gt;"Novo","—",J23="","—",J23&gt;10,"🔴 ATRASADO",TRUE,"🟢 no prazo")</f>
        <v/>
      </c>
      <c r="L23" s="5" t="n"/>
      <c r="M23" s="4" t="n"/>
      <c r="N23" s="5">
        <f>IFERROR(IF(M23&gt;0,L23/M23,0),0)</f>
        <v/>
      </c>
      <c r="O23" s="4">
        <f>IFS(H23="Visitou",I23+1,H23="Fechado","—",AND(H23&lt;&gt;"Fechado",H23&lt;&gt;"Perdido",I23&lt;&gt;""),I23+3,TRUE,"")</f>
        <v/>
      </c>
      <c r="P23" s="4">
        <f>IFS(H23="Novo","Responder agora via WhatsApp",H23="Visitou","Enviar oferta de fechamento em 24h",H23="Fechado","Agendar pedido de review em 15 dias",H23="Perdido","Mover para lista de espera sazonal",TRUE,"Aguardando retorno do lead")</f>
        <v/>
      </c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>
        <f>IFERROR(IF(H24="Novo",(NOW()-B24)*1440,""),"")</f>
        <v/>
      </c>
      <c r="K24" s="4">
        <f>IFS(H24&lt;&gt;"Novo","—",J24="","—",J24&gt;10,"🔴 ATRASADO",TRUE,"🟢 no prazo")</f>
        <v/>
      </c>
      <c r="L24" s="5" t="n"/>
      <c r="M24" s="4" t="n"/>
      <c r="N24" s="5">
        <f>IFERROR(IF(M24&gt;0,L24/M24,0),0)</f>
        <v/>
      </c>
      <c r="O24" s="4">
        <f>IFS(H24="Visitou",I24+1,H24="Fechado","—",AND(H24&lt;&gt;"Fechado",H24&lt;&gt;"Perdido",I24&lt;&gt;""),I24+3,TRUE,"")</f>
        <v/>
      </c>
      <c r="P24" s="4">
        <f>IFS(H24="Novo","Responder agora via WhatsApp",H24="Visitou","Enviar oferta de fechamento em 24h",H24="Fechado","Agendar pedido de review em 15 dias",H24="Perdido","Mover para lista de espera sazonal",TRUE,"Aguardando retorno do lead")</f>
        <v/>
      </c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>
        <f>IFERROR(IF(H25="Novo",(NOW()-B25)*1440,""),"")</f>
        <v/>
      </c>
      <c r="K25" s="4">
        <f>IFS(H25&lt;&gt;"Novo","—",J25="","—",J25&gt;10,"🔴 ATRASADO",TRUE,"🟢 no prazo")</f>
        <v/>
      </c>
      <c r="L25" s="5" t="n"/>
      <c r="M25" s="4" t="n"/>
      <c r="N25" s="5">
        <f>IFERROR(IF(M25&gt;0,L25/M25,0),0)</f>
        <v/>
      </c>
      <c r="O25" s="4">
        <f>IFS(H25="Visitou",I25+1,H25="Fechado","—",AND(H25&lt;&gt;"Fechado",H25&lt;&gt;"Perdido",I25&lt;&gt;""),I25+3,TRUE,"")</f>
        <v/>
      </c>
      <c r="P25" s="4">
        <f>IFS(H25="Novo","Responder agora via WhatsApp",H25="Visitou","Enviar oferta de fechamento em 24h",H25="Fechado","Agendar pedido de review em 15 dias",H25="Perdido","Mover para lista de espera sazonal",TRUE,"Aguardando retorno do lead")</f>
        <v/>
      </c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>
        <f>IFERROR(IF(H26="Novo",(NOW()-B26)*1440,""),"")</f>
        <v/>
      </c>
      <c r="K26" s="4">
        <f>IFS(H26&lt;&gt;"Novo","—",J26="","—",J26&gt;10,"🔴 ATRASADO",TRUE,"🟢 no prazo")</f>
        <v/>
      </c>
      <c r="L26" s="5" t="n"/>
      <c r="M26" s="4" t="n"/>
      <c r="N26" s="5">
        <f>IFERROR(IF(M26&gt;0,L26/M26,0),0)</f>
        <v/>
      </c>
      <c r="O26" s="4">
        <f>IFS(H26="Visitou",I26+1,H26="Fechado","—",AND(H26&lt;&gt;"Fechado",H26&lt;&gt;"Perdido",I26&lt;&gt;""),I26+3,TRUE,"")</f>
        <v/>
      </c>
      <c r="P26" s="4">
        <f>IFS(H26="Novo","Responder agora via WhatsApp",H26="Visitou","Enviar oferta de fechamento em 24h",H26="Fechado","Agendar pedido de review em 15 dias",H26="Perdido","Mover para lista de espera sazonal",TRUE,"Aguardando retorno do lead")</f>
        <v/>
      </c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>
        <f>IFERROR(IF(H27="Novo",(NOW()-B27)*1440,""),"")</f>
        <v/>
      </c>
      <c r="K27" s="4">
        <f>IFS(H27&lt;&gt;"Novo","—",J27="","—",J27&gt;10,"🔴 ATRASADO",TRUE,"🟢 no prazo")</f>
        <v/>
      </c>
      <c r="L27" s="5" t="n"/>
      <c r="M27" s="4" t="n"/>
      <c r="N27" s="5">
        <f>IFERROR(IF(M27&gt;0,L27/M27,0),0)</f>
        <v/>
      </c>
      <c r="O27" s="4">
        <f>IFS(H27="Visitou",I27+1,H27="Fechado","—",AND(H27&lt;&gt;"Fechado",H27&lt;&gt;"Perdido",I27&lt;&gt;""),I27+3,TRUE,"")</f>
        <v/>
      </c>
      <c r="P27" s="4">
        <f>IFS(H27="Novo","Responder agora via WhatsApp",H27="Visitou","Enviar oferta de fechamento em 24h",H27="Fechado","Agendar pedido de review em 15 dias",H27="Perdido","Mover para lista de espera sazonal",TRUE,"Aguardando retorno do lead")</f>
        <v/>
      </c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>
        <f>IFERROR(IF(H28="Novo",(NOW()-B28)*1440,""),"")</f>
        <v/>
      </c>
      <c r="K28" s="4">
        <f>IFS(H28&lt;&gt;"Novo","—",J28="","—",J28&gt;10,"🔴 ATRASADO",TRUE,"🟢 no prazo")</f>
        <v/>
      </c>
      <c r="L28" s="5" t="n"/>
      <c r="M28" s="4" t="n"/>
      <c r="N28" s="5">
        <f>IFERROR(IF(M28&gt;0,L28/M28,0),0)</f>
        <v/>
      </c>
      <c r="O28" s="4">
        <f>IFS(H28="Visitou",I28+1,H28="Fechado","—",AND(H28&lt;&gt;"Fechado",H28&lt;&gt;"Perdido",I28&lt;&gt;""),I28+3,TRUE,"")</f>
        <v/>
      </c>
      <c r="P28" s="4">
        <f>IFS(H28="Novo","Responder agora via WhatsApp",H28="Visitou","Enviar oferta de fechamento em 24h",H28="Fechado","Agendar pedido de review em 15 dias",H28="Perdido","Mover para lista de espera sazonal",TRUE,"Aguardando retorno do lead")</f>
        <v/>
      </c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>
        <f>IFERROR(IF(H29="Novo",(NOW()-B29)*1440,""),"")</f>
        <v/>
      </c>
      <c r="K29" s="4">
        <f>IFS(H29&lt;&gt;"Novo","—",J29="","—",J29&gt;10,"🔴 ATRASADO",TRUE,"🟢 no prazo")</f>
        <v/>
      </c>
      <c r="L29" s="5" t="n"/>
      <c r="M29" s="4" t="n"/>
      <c r="N29" s="5">
        <f>IFERROR(IF(M29&gt;0,L29/M29,0),0)</f>
        <v/>
      </c>
      <c r="O29" s="4">
        <f>IFS(H29="Visitou",I29+1,H29="Fechado","—",AND(H29&lt;&gt;"Fechado",H29&lt;&gt;"Perdido",I29&lt;&gt;""),I29+3,TRUE,"")</f>
        <v/>
      </c>
      <c r="P29" s="4">
        <f>IFS(H29="Novo","Responder agora via WhatsApp",H29="Visitou","Enviar oferta de fechamento em 24h",H29="Fechado","Agendar pedido de review em 15 dias",H29="Perdido","Mover para lista de espera sazonal",TRUE,"Aguardando retorno do lead")</f>
        <v/>
      </c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>
        <f>IFERROR(IF(H30="Novo",(NOW()-B30)*1440,""),"")</f>
        <v/>
      </c>
      <c r="K30" s="4">
        <f>IFS(H30&lt;&gt;"Novo","—",J30="","—",J30&gt;10,"🔴 ATRASADO",TRUE,"🟢 no prazo")</f>
        <v/>
      </c>
      <c r="L30" s="5" t="n"/>
      <c r="M30" s="4" t="n"/>
      <c r="N30" s="5">
        <f>IFERROR(IF(M30&gt;0,L30/M30,0),0)</f>
        <v/>
      </c>
      <c r="O30" s="4">
        <f>IFS(H30="Visitou",I30+1,H30="Fechado","—",AND(H30&lt;&gt;"Fechado",H30&lt;&gt;"Perdido",I30&lt;&gt;""),I30+3,TRUE,"")</f>
        <v/>
      </c>
      <c r="P30" s="4">
        <f>IFS(H30="Novo","Responder agora via WhatsApp",H30="Visitou","Enviar oferta de fechamento em 24h",H30="Fechado","Agendar pedido de review em 15 dias",H30="Perdido","Mover para lista de espera sazonal",TRUE,"Aguardando retorno do lead")</f>
        <v/>
      </c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>
        <f>IFERROR(IF(H31="Novo",(NOW()-B31)*1440,""),"")</f>
        <v/>
      </c>
      <c r="K31" s="4">
        <f>IFS(H31&lt;&gt;"Novo","—",J31="","—",J31&gt;10,"🔴 ATRASADO",TRUE,"🟢 no prazo")</f>
        <v/>
      </c>
      <c r="L31" s="5" t="n"/>
      <c r="M31" s="4" t="n"/>
      <c r="N31" s="5">
        <f>IFERROR(IF(M31&gt;0,L31/M31,0),0)</f>
        <v/>
      </c>
      <c r="O31" s="4">
        <f>IFS(H31="Visitou",I31+1,H31="Fechado","—",AND(H31&lt;&gt;"Fechado",H31&lt;&gt;"Perdido",I31&lt;&gt;""),I31+3,TRUE,"")</f>
        <v/>
      </c>
      <c r="P31" s="4">
        <f>IFS(H31="Novo","Responder agora via WhatsApp",H31="Visitou","Enviar oferta de fechamento em 24h",H31="Fechado","Agendar pedido de review em 15 dias",H31="Perdido","Mover para lista de espera sazonal",TRUE,"Aguardando retorno do lead")</f>
        <v/>
      </c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>
        <f>IFERROR(IF(H32="Novo",(NOW()-B32)*1440,""),"")</f>
        <v/>
      </c>
      <c r="K32" s="4">
        <f>IFS(H32&lt;&gt;"Novo","—",J32="","—",J32&gt;10,"🔴 ATRASADO",TRUE,"🟢 no prazo")</f>
        <v/>
      </c>
      <c r="L32" s="5" t="n"/>
      <c r="M32" s="4" t="n"/>
      <c r="N32" s="5">
        <f>IFERROR(IF(M32&gt;0,L32/M32,0),0)</f>
        <v/>
      </c>
      <c r="O32" s="4">
        <f>IFS(H32="Visitou",I32+1,H32="Fechado","—",AND(H32&lt;&gt;"Fechado",H32&lt;&gt;"Perdido",I32&lt;&gt;""),I32+3,TRUE,"")</f>
        <v/>
      </c>
      <c r="P32" s="4">
        <f>IFS(H32="Novo","Responder agora via WhatsApp",H32="Visitou","Enviar oferta de fechamento em 24h",H32="Fechado","Agendar pedido de review em 15 dias",H32="Perdido","Mover para lista de espera sazonal",TRUE,"Aguardando retorno do lead")</f>
        <v/>
      </c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>
        <f>IFERROR(IF(H33="Novo",(NOW()-B33)*1440,""),"")</f>
        <v/>
      </c>
      <c r="K33" s="4">
        <f>IFS(H33&lt;&gt;"Novo","—",J33="","—",J33&gt;10,"🔴 ATRASADO",TRUE,"🟢 no prazo")</f>
        <v/>
      </c>
      <c r="L33" s="5" t="n"/>
      <c r="M33" s="4" t="n"/>
      <c r="N33" s="5">
        <f>IFERROR(IF(M33&gt;0,L33/M33,0),0)</f>
        <v/>
      </c>
      <c r="O33" s="4">
        <f>IFS(H33="Visitou",I33+1,H33="Fechado","—",AND(H33&lt;&gt;"Fechado",H33&lt;&gt;"Perdido",I33&lt;&gt;""),I33+3,TRUE,"")</f>
        <v/>
      </c>
      <c r="P33" s="4">
        <f>IFS(H33="Novo","Responder agora via WhatsApp",H33="Visitou","Enviar oferta de fechamento em 24h",H33="Fechado","Agendar pedido de review em 15 dias",H33="Perdido","Mover para lista de espera sazonal",TRUE,"Aguardando retorno do lead")</f>
        <v/>
      </c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>
        <f>IFERROR(IF(H34="Novo",(NOW()-B34)*1440,""),"")</f>
        <v/>
      </c>
      <c r="K34" s="4">
        <f>IFS(H34&lt;&gt;"Novo","—",J34="","—",J34&gt;10,"🔴 ATRASADO",TRUE,"🟢 no prazo")</f>
        <v/>
      </c>
      <c r="L34" s="5" t="n"/>
      <c r="M34" s="4" t="n"/>
      <c r="N34" s="5">
        <f>IFERROR(IF(M34&gt;0,L34/M34,0),0)</f>
        <v/>
      </c>
      <c r="O34" s="4">
        <f>IFS(H34="Visitou",I34+1,H34="Fechado","—",AND(H34&lt;&gt;"Fechado",H34&lt;&gt;"Perdido",I34&lt;&gt;""),I34+3,TRUE,"")</f>
        <v/>
      </c>
      <c r="P34" s="4">
        <f>IFS(H34="Novo","Responder agora via WhatsApp",H34="Visitou","Enviar oferta de fechamento em 24h",H34="Fechado","Agendar pedido de review em 15 dias",H34="Perdido","Mover para lista de espera sazonal",TRUE,"Aguardando retorno do lead")</f>
        <v/>
      </c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>
        <f>IFERROR(IF(H35="Novo",(NOW()-B35)*1440,""),"")</f>
        <v/>
      </c>
      <c r="K35" s="4">
        <f>IFS(H35&lt;&gt;"Novo","—",J35="","—",J35&gt;10,"🔴 ATRASADO",TRUE,"🟢 no prazo")</f>
        <v/>
      </c>
      <c r="L35" s="5" t="n"/>
      <c r="M35" s="4" t="n"/>
      <c r="N35" s="5">
        <f>IFERROR(IF(M35&gt;0,L35/M35,0),0)</f>
        <v/>
      </c>
      <c r="O35" s="4">
        <f>IFS(H35="Visitou",I35+1,H35="Fechado","—",AND(H35&lt;&gt;"Fechado",H35&lt;&gt;"Perdido",I35&lt;&gt;""),I35+3,TRUE,"")</f>
        <v/>
      </c>
      <c r="P35" s="4">
        <f>IFS(H35="Novo","Responder agora via WhatsApp",H35="Visitou","Enviar oferta de fechamento em 24h",H35="Fechado","Agendar pedido de review em 15 dias",H35="Perdido","Mover para lista de espera sazonal",TRUE,"Aguardando retorno do lead")</f>
        <v/>
      </c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>
        <f>IFERROR(IF(H36="Novo",(NOW()-B36)*1440,""),"")</f>
        <v/>
      </c>
      <c r="K36" s="4">
        <f>IFS(H36&lt;&gt;"Novo","—",J36="","—",J36&gt;10,"🔴 ATRASADO",TRUE,"🟢 no prazo")</f>
        <v/>
      </c>
      <c r="L36" s="5" t="n"/>
      <c r="M36" s="4" t="n"/>
      <c r="N36" s="5">
        <f>IFERROR(IF(M36&gt;0,L36/M36,0),0)</f>
        <v/>
      </c>
      <c r="O36" s="4">
        <f>IFS(H36="Visitou",I36+1,H36="Fechado","—",AND(H36&lt;&gt;"Fechado",H36&lt;&gt;"Perdido",I36&lt;&gt;""),I36+3,TRUE,"")</f>
        <v/>
      </c>
      <c r="P36" s="4">
        <f>IFS(H36="Novo","Responder agora via WhatsApp",H36="Visitou","Enviar oferta de fechamento em 24h",H36="Fechado","Agendar pedido de review em 15 dias",H36="Perdido","Mover para lista de espera sazonal",TRUE,"Aguardando retorno do lead")</f>
        <v/>
      </c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>
        <f>IFERROR(IF(H37="Novo",(NOW()-B37)*1440,""),"")</f>
        <v/>
      </c>
      <c r="K37" s="4">
        <f>IFS(H37&lt;&gt;"Novo","—",J37="","—",J37&gt;10,"🔴 ATRASADO",TRUE,"🟢 no prazo")</f>
        <v/>
      </c>
      <c r="L37" s="5" t="n"/>
      <c r="M37" s="4" t="n"/>
      <c r="N37" s="5">
        <f>IFERROR(IF(M37&gt;0,L37/M37,0),0)</f>
        <v/>
      </c>
      <c r="O37" s="4">
        <f>IFS(H37="Visitou",I37+1,H37="Fechado","—",AND(H37&lt;&gt;"Fechado",H37&lt;&gt;"Perdido",I37&lt;&gt;""),I37+3,TRUE,"")</f>
        <v/>
      </c>
      <c r="P37" s="4">
        <f>IFS(H37="Novo","Responder agora via WhatsApp",H37="Visitou","Enviar oferta de fechamento em 24h",H37="Fechado","Agendar pedido de review em 15 dias",H37="Perdido","Mover para lista de espera sazonal",TRUE,"Aguardando retorno do lead")</f>
        <v/>
      </c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>
        <f>IFERROR(IF(H38="Novo",(NOW()-B38)*1440,""),"")</f>
        <v/>
      </c>
      <c r="K38" s="4">
        <f>IFS(H38&lt;&gt;"Novo","—",J38="","—",J38&gt;10,"🔴 ATRASADO",TRUE,"🟢 no prazo")</f>
        <v/>
      </c>
      <c r="L38" s="5" t="n"/>
      <c r="M38" s="4" t="n"/>
      <c r="N38" s="5">
        <f>IFERROR(IF(M38&gt;0,L38/M38,0),0)</f>
        <v/>
      </c>
      <c r="O38" s="4">
        <f>IFS(H38="Visitou",I38+1,H38="Fechado","—",AND(H38&lt;&gt;"Fechado",H38&lt;&gt;"Perdido",I38&lt;&gt;""),I38+3,TRUE,"")</f>
        <v/>
      </c>
      <c r="P38" s="4">
        <f>IFS(H38="Novo","Responder agora via WhatsApp",H38="Visitou","Enviar oferta de fechamento em 24h",H38="Fechado","Agendar pedido de review em 15 dias",H38="Perdido","Mover para lista de espera sazonal",TRUE,"Aguardando retorno do lead")</f>
        <v/>
      </c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>
        <f>IFERROR(IF(H39="Novo",(NOW()-B39)*1440,""),"")</f>
        <v/>
      </c>
      <c r="K39" s="4">
        <f>IFS(H39&lt;&gt;"Novo","—",J39="","—",J39&gt;10,"🔴 ATRASADO",TRUE,"🟢 no prazo")</f>
        <v/>
      </c>
      <c r="L39" s="5" t="n"/>
      <c r="M39" s="4" t="n"/>
      <c r="N39" s="5">
        <f>IFERROR(IF(M39&gt;0,L39/M39,0),0)</f>
        <v/>
      </c>
      <c r="O39" s="4">
        <f>IFS(H39="Visitou",I39+1,H39="Fechado","—",AND(H39&lt;&gt;"Fechado",H39&lt;&gt;"Perdido",I39&lt;&gt;""),I39+3,TRUE,"")</f>
        <v/>
      </c>
      <c r="P39" s="4">
        <f>IFS(H39="Novo","Responder agora via WhatsApp",H39="Visitou","Enviar oferta de fechamento em 24h",H39="Fechado","Agendar pedido de review em 15 dias",H39="Perdido","Mover para lista de espera sazonal",TRUE,"Aguardando retorno do lead")</f>
        <v/>
      </c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>
        <f>IFERROR(IF(H40="Novo",(NOW()-B40)*1440,""),"")</f>
        <v/>
      </c>
      <c r="K40" s="4">
        <f>IFS(H40&lt;&gt;"Novo","—",J40="","—",J40&gt;10,"🔴 ATRASADO",TRUE,"🟢 no prazo")</f>
        <v/>
      </c>
      <c r="L40" s="5" t="n"/>
      <c r="M40" s="4" t="n"/>
      <c r="N40" s="5">
        <f>IFERROR(IF(M40&gt;0,L40/M40,0),0)</f>
        <v/>
      </c>
      <c r="O40" s="4">
        <f>IFS(H40="Visitou",I40+1,H40="Fechado","—",AND(H40&lt;&gt;"Fechado",H40&lt;&gt;"Perdido",I40&lt;&gt;""),I40+3,TRUE,"")</f>
        <v/>
      </c>
      <c r="P40" s="4">
        <f>IFS(H40="Novo","Responder agora via WhatsApp",H40="Visitou","Enviar oferta de fechamento em 24h",H40="Fechado","Agendar pedido de review em 15 dias",H40="Perdido","Mover para lista de espera sazonal",TRUE,"Aguardando retorno do lead")</f>
        <v/>
      </c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>
        <f>IFERROR(IF(H41="Novo",(NOW()-B41)*1440,""),"")</f>
        <v/>
      </c>
      <c r="K41" s="4">
        <f>IFS(H41&lt;&gt;"Novo","—",J41="","—",J41&gt;10,"🔴 ATRASADO",TRUE,"🟢 no prazo")</f>
        <v/>
      </c>
      <c r="L41" s="5" t="n"/>
      <c r="M41" s="4" t="n"/>
      <c r="N41" s="5">
        <f>IFERROR(IF(M41&gt;0,L41/M41,0),0)</f>
        <v/>
      </c>
      <c r="O41" s="4">
        <f>IFS(H41="Visitou",I41+1,H41="Fechado","—",AND(H41&lt;&gt;"Fechado",H41&lt;&gt;"Perdido",I41&lt;&gt;""),I41+3,TRUE,"")</f>
        <v/>
      </c>
      <c r="P41" s="4">
        <f>IFS(H41="Novo","Responder agora via WhatsApp",H41="Visitou","Enviar oferta de fechamento em 24h",H41="Fechado","Agendar pedido de review em 15 dias",H41="Perdido","Mover para lista de espera sazonal",TRUE,"Aguardando retorno do lead")</f>
        <v/>
      </c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>
        <f>IFERROR(IF(H42="Novo",(NOW()-B42)*1440,""),"")</f>
        <v/>
      </c>
      <c r="K42" s="4">
        <f>IFS(H42&lt;&gt;"Novo","—",J42="","—",J42&gt;10,"🔴 ATRASADO",TRUE,"🟢 no prazo")</f>
        <v/>
      </c>
      <c r="L42" s="5" t="n"/>
      <c r="M42" s="4" t="n"/>
      <c r="N42" s="5">
        <f>IFERROR(IF(M42&gt;0,L42/M42,0),0)</f>
        <v/>
      </c>
      <c r="O42" s="4">
        <f>IFS(H42="Visitou",I42+1,H42="Fechado","—",AND(H42&lt;&gt;"Fechado",H42&lt;&gt;"Perdido",I42&lt;&gt;""),I42+3,TRUE,"")</f>
        <v/>
      </c>
      <c r="P42" s="4">
        <f>IFS(H42="Novo","Responder agora via WhatsApp",H42="Visitou","Enviar oferta de fechamento em 24h",H42="Fechado","Agendar pedido de review em 15 dias",H42="Perdido","Mover para lista de espera sazonal",TRUE,"Aguardando retorno do lead")</f>
        <v/>
      </c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>
        <f>IFERROR(IF(H43="Novo",(NOW()-B43)*1440,""),"")</f>
        <v/>
      </c>
      <c r="K43" s="4">
        <f>IFS(H43&lt;&gt;"Novo","—",J43="","—",J43&gt;10,"🔴 ATRASADO",TRUE,"🟢 no prazo")</f>
        <v/>
      </c>
      <c r="L43" s="5" t="n"/>
      <c r="M43" s="4" t="n"/>
      <c r="N43" s="5">
        <f>IFERROR(IF(M43&gt;0,L43/M43,0),0)</f>
        <v/>
      </c>
      <c r="O43" s="4">
        <f>IFS(H43="Visitou",I43+1,H43="Fechado","—",AND(H43&lt;&gt;"Fechado",H43&lt;&gt;"Perdido",I43&lt;&gt;""),I43+3,TRUE,"")</f>
        <v/>
      </c>
      <c r="P43" s="4">
        <f>IFS(H43="Novo","Responder agora via WhatsApp",H43="Visitou","Enviar oferta de fechamento em 24h",H43="Fechado","Agendar pedido de review em 15 dias",H43="Perdido","Mover para lista de espera sazonal",TRUE,"Aguardando retorno do lead")</f>
        <v/>
      </c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>
        <f>IFERROR(IF(H44="Novo",(NOW()-B44)*1440,""),"")</f>
        <v/>
      </c>
      <c r="K44" s="4">
        <f>IFS(H44&lt;&gt;"Novo","—",J44="","—",J44&gt;10,"🔴 ATRASADO",TRUE,"🟢 no prazo")</f>
        <v/>
      </c>
      <c r="L44" s="5" t="n"/>
      <c r="M44" s="4" t="n"/>
      <c r="N44" s="5">
        <f>IFERROR(IF(M44&gt;0,L44/M44,0),0)</f>
        <v/>
      </c>
      <c r="O44" s="4">
        <f>IFS(H44="Visitou",I44+1,H44="Fechado","—",AND(H44&lt;&gt;"Fechado",H44&lt;&gt;"Perdido",I44&lt;&gt;""),I44+3,TRUE,"")</f>
        <v/>
      </c>
      <c r="P44" s="4">
        <f>IFS(H44="Novo","Responder agora via WhatsApp",H44="Visitou","Enviar oferta de fechamento em 24h",H44="Fechado","Agendar pedido de review em 15 dias",H44="Perdido","Mover para lista de espera sazonal",TRUE,"Aguardando retorno do lead")</f>
        <v/>
      </c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>
        <f>IFERROR(IF(H45="Novo",(NOW()-B45)*1440,""),"")</f>
        <v/>
      </c>
      <c r="K45" s="4">
        <f>IFS(H45&lt;&gt;"Novo","—",J45="","—",J45&gt;10,"🔴 ATRASADO",TRUE,"🟢 no prazo")</f>
        <v/>
      </c>
      <c r="L45" s="5" t="n"/>
      <c r="M45" s="4" t="n"/>
      <c r="N45" s="5">
        <f>IFERROR(IF(M45&gt;0,L45/M45,0),0)</f>
        <v/>
      </c>
      <c r="O45" s="4">
        <f>IFS(H45="Visitou",I45+1,H45="Fechado","—",AND(H45&lt;&gt;"Fechado",H45&lt;&gt;"Perdido",I45&lt;&gt;""),I45+3,TRUE,"")</f>
        <v/>
      </c>
      <c r="P45" s="4">
        <f>IFS(H45="Novo","Responder agora via WhatsApp",H45="Visitou","Enviar oferta de fechamento em 24h",H45="Fechado","Agendar pedido de review em 15 dias",H45="Perdido","Mover para lista de espera sazonal",TRUE,"Aguardando retorno do lead")</f>
        <v/>
      </c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>
        <f>IFERROR(IF(H46="Novo",(NOW()-B46)*1440,""),"")</f>
        <v/>
      </c>
      <c r="K46" s="4">
        <f>IFS(H46&lt;&gt;"Novo","—",J46="","—",J46&gt;10,"🔴 ATRASADO",TRUE,"🟢 no prazo")</f>
        <v/>
      </c>
      <c r="L46" s="5" t="n"/>
      <c r="M46" s="4" t="n"/>
      <c r="N46" s="5">
        <f>IFERROR(IF(M46&gt;0,L46/M46,0),0)</f>
        <v/>
      </c>
      <c r="O46" s="4">
        <f>IFS(H46="Visitou",I46+1,H46="Fechado","—",AND(H46&lt;&gt;"Fechado",H46&lt;&gt;"Perdido",I46&lt;&gt;""),I46+3,TRUE,"")</f>
        <v/>
      </c>
      <c r="P46" s="4">
        <f>IFS(H46="Novo","Responder agora via WhatsApp",H46="Visitou","Enviar oferta de fechamento em 24h",H46="Fechado","Agendar pedido de review em 15 dias",H46="Perdido","Mover para lista de espera sazonal",TRUE,"Aguardando retorno do lead")</f>
        <v/>
      </c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>
        <f>IFERROR(IF(H47="Novo",(NOW()-B47)*1440,""),"")</f>
        <v/>
      </c>
      <c r="K47" s="4">
        <f>IFS(H47&lt;&gt;"Novo","—",J47="","—",J47&gt;10,"🔴 ATRASADO",TRUE,"🟢 no prazo")</f>
        <v/>
      </c>
      <c r="L47" s="5" t="n"/>
      <c r="M47" s="4" t="n"/>
      <c r="N47" s="5">
        <f>IFERROR(IF(M47&gt;0,L47/M47,0),0)</f>
        <v/>
      </c>
      <c r="O47" s="4">
        <f>IFS(H47="Visitou",I47+1,H47="Fechado","—",AND(H47&lt;&gt;"Fechado",H47&lt;&gt;"Perdido",I47&lt;&gt;""),I47+3,TRUE,"")</f>
        <v/>
      </c>
      <c r="P47" s="4">
        <f>IFS(H47="Novo","Responder agora via WhatsApp",H47="Visitou","Enviar oferta de fechamento em 24h",H47="Fechado","Agendar pedido de review em 15 dias",H47="Perdido","Mover para lista de espera sazonal",TRUE,"Aguardando retorno do lead")</f>
        <v/>
      </c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>
        <f>IFERROR(IF(H48="Novo",(NOW()-B48)*1440,""),"")</f>
        <v/>
      </c>
      <c r="K48" s="4">
        <f>IFS(H48&lt;&gt;"Novo","—",J48="","—",J48&gt;10,"🔴 ATRASADO",TRUE,"🟢 no prazo")</f>
        <v/>
      </c>
      <c r="L48" s="5" t="n"/>
      <c r="M48" s="4" t="n"/>
      <c r="N48" s="5">
        <f>IFERROR(IF(M48&gt;0,L48/M48,0),0)</f>
        <v/>
      </c>
      <c r="O48" s="4">
        <f>IFS(H48="Visitou",I48+1,H48="Fechado","—",AND(H48&lt;&gt;"Fechado",H48&lt;&gt;"Perdido",I48&lt;&gt;""),I48+3,TRUE,"")</f>
        <v/>
      </c>
      <c r="P48" s="4">
        <f>IFS(H48="Novo","Responder agora via WhatsApp",H48="Visitou","Enviar oferta de fechamento em 24h",H48="Fechado","Agendar pedido de review em 15 dias",H48="Perdido","Mover para lista de espera sazonal",TRUE,"Aguardando retorno do lead")</f>
        <v/>
      </c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>
        <f>IFERROR(IF(H49="Novo",(NOW()-B49)*1440,""),"")</f>
        <v/>
      </c>
      <c r="K49" s="4">
        <f>IFS(H49&lt;&gt;"Novo","—",J49="","—",J49&gt;10,"🔴 ATRASADO",TRUE,"🟢 no prazo")</f>
        <v/>
      </c>
      <c r="L49" s="5" t="n"/>
      <c r="M49" s="4" t="n"/>
      <c r="N49" s="5">
        <f>IFERROR(IF(M49&gt;0,L49/M49,0),0)</f>
        <v/>
      </c>
      <c r="O49" s="4">
        <f>IFS(H49="Visitou",I49+1,H49="Fechado","—",AND(H49&lt;&gt;"Fechado",H49&lt;&gt;"Perdido",I49&lt;&gt;""),I49+3,TRUE,"")</f>
        <v/>
      </c>
      <c r="P49" s="4">
        <f>IFS(H49="Novo","Responder agora via WhatsApp",H49="Visitou","Enviar oferta de fechamento em 24h",H49="Fechado","Agendar pedido de review em 15 dias",H49="Perdido","Mover para lista de espera sazonal",TRUE,"Aguardando retorno do lead")</f>
        <v/>
      </c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>
        <f>IFERROR(IF(H50="Novo",(NOW()-B50)*1440,""),"")</f>
        <v/>
      </c>
      <c r="K50" s="4">
        <f>IFS(H50&lt;&gt;"Novo","—",J50="","—",J50&gt;10,"🔴 ATRASADO",TRUE,"🟢 no prazo")</f>
        <v/>
      </c>
      <c r="L50" s="5" t="n"/>
      <c r="M50" s="4" t="n"/>
      <c r="N50" s="5">
        <f>IFERROR(IF(M50&gt;0,L50/M50,0),0)</f>
        <v/>
      </c>
      <c r="O50" s="4">
        <f>IFS(H50="Visitou",I50+1,H50="Fechado","—",AND(H50&lt;&gt;"Fechado",H50&lt;&gt;"Perdido",I50&lt;&gt;""),I50+3,TRUE,"")</f>
        <v/>
      </c>
      <c r="P50" s="4">
        <f>IFS(H50="Novo","Responder agora via WhatsApp",H50="Visitou","Enviar oferta de fechamento em 24h",H50="Fechado","Agendar pedido de review em 15 dias",H50="Perdido","Mover para lista de espera sazonal",TRUE,"Aguardando retorno do lead")</f>
        <v/>
      </c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>
        <f>IFERROR(IF(H51="Novo",(NOW()-B51)*1440,""),"")</f>
        <v/>
      </c>
      <c r="K51" s="4">
        <f>IFS(H51&lt;&gt;"Novo","—",J51="","—",J51&gt;10,"🔴 ATRASADO",TRUE,"🟢 no prazo")</f>
        <v/>
      </c>
      <c r="L51" s="5" t="n"/>
      <c r="M51" s="4" t="n"/>
      <c r="N51" s="5">
        <f>IFERROR(IF(M51&gt;0,L51/M51,0),0)</f>
        <v/>
      </c>
      <c r="O51" s="4">
        <f>IFS(H51="Visitou",I51+1,H51="Fechado","—",AND(H51&lt;&gt;"Fechado",H51&lt;&gt;"Perdido",I51&lt;&gt;""),I51+3,TRUE,"")</f>
        <v/>
      </c>
      <c r="P51" s="4">
        <f>IFS(H51="Novo","Responder agora via WhatsApp",H51="Visitou","Enviar oferta de fechamento em 24h",H51="Fechado","Agendar pedido de review em 15 dias",H51="Perdido","Mover para lista de espera sazonal",TRUE,"Aguardando retorno do lead")</f>
        <v/>
      </c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>
        <f>IFERROR(IF(H52="Novo",(NOW()-B52)*1440,""),"")</f>
        <v/>
      </c>
      <c r="K52" s="4">
        <f>IFS(H52&lt;&gt;"Novo","—",J52="","—",J52&gt;10,"🔴 ATRASADO",TRUE,"🟢 no prazo")</f>
        <v/>
      </c>
      <c r="L52" s="5" t="n"/>
      <c r="M52" s="4" t="n"/>
      <c r="N52" s="5">
        <f>IFERROR(IF(M52&gt;0,L52/M52,0),0)</f>
        <v/>
      </c>
      <c r="O52" s="4">
        <f>IFS(H52="Visitou",I52+1,H52="Fechado","—",AND(H52&lt;&gt;"Fechado",H52&lt;&gt;"Perdido",I52&lt;&gt;""),I52+3,TRUE,"")</f>
        <v/>
      </c>
      <c r="P52" s="4">
        <f>IFS(H52="Novo","Responder agora via WhatsApp",H52="Visitou","Enviar oferta de fechamento em 24h",H52="Fechado","Agendar pedido de review em 15 dias",H52="Perdido","Mover para lista de espera sazonal",TRUE,"Aguardando retorno do lead")</f>
        <v/>
      </c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>
        <f>IFERROR(IF(H53="Novo",(NOW()-B53)*1440,""),"")</f>
        <v/>
      </c>
      <c r="K53" s="4">
        <f>IFS(H53&lt;&gt;"Novo","—",J53="","—",J53&gt;10,"🔴 ATRASADO",TRUE,"🟢 no prazo")</f>
        <v/>
      </c>
      <c r="L53" s="5" t="n"/>
      <c r="M53" s="4" t="n"/>
      <c r="N53" s="5">
        <f>IFERROR(IF(M53&gt;0,L53/M53,0),0)</f>
        <v/>
      </c>
      <c r="O53" s="4">
        <f>IFS(H53="Visitou",I53+1,H53="Fechado","—",AND(H53&lt;&gt;"Fechado",H53&lt;&gt;"Perdido",I53&lt;&gt;""),I53+3,TRUE,"")</f>
        <v/>
      </c>
      <c r="P53" s="4">
        <f>IFS(H53="Novo","Responder agora via WhatsApp",H53="Visitou","Enviar oferta de fechamento em 24h",H53="Fechado","Agendar pedido de review em 15 dias",H53="Perdido","Mover para lista de espera sazonal",TRUE,"Aguardando retorno do lead")</f>
        <v/>
      </c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>
        <f>IFERROR(IF(H54="Novo",(NOW()-B54)*1440,""),"")</f>
        <v/>
      </c>
      <c r="K54" s="4">
        <f>IFS(H54&lt;&gt;"Novo","—",J54="","—",J54&gt;10,"🔴 ATRASADO",TRUE,"🟢 no prazo")</f>
        <v/>
      </c>
      <c r="L54" s="5" t="n"/>
      <c r="M54" s="4" t="n"/>
      <c r="N54" s="5">
        <f>IFERROR(IF(M54&gt;0,L54/M54,0),0)</f>
        <v/>
      </c>
      <c r="O54" s="4">
        <f>IFS(H54="Visitou",I54+1,H54="Fechado","—",AND(H54&lt;&gt;"Fechado",H54&lt;&gt;"Perdido",I54&lt;&gt;""),I54+3,TRUE,"")</f>
        <v/>
      </c>
      <c r="P54" s="4">
        <f>IFS(H54="Novo","Responder agora via WhatsApp",H54="Visitou","Enviar oferta de fechamento em 24h",H54="Fechado","Agendar pedido de review em 15 dias",H54="Perdido","Mover para lista de espera sazonal",TRUE,"Aguardando retorno do lead")</f>
        <v/>
      </c>
      <c r="Q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>
        <f>IFERROR(IF(H55="Novo",(NOW()-B55)*1440,""),"")</f>
        <v/>
      </c>
      <c r="K55" s="4">
        <f>IFS(H55&lt;&gt;"Novo","—",J55="","—",J55&gt;10,"🔴 ATRASADO",TRUE,"🟢 no prazo")</f>
        <v/>
      </c>
      <c r="L55" s="5" t="n"/>
      <c r="M55" s="4" t="n"/>
      <c r="N55" s="5">
        <f>IFERROR(IF(M55&gt;0,L55/M55,0),0)</f>
        <v/>
      </c>
      <c r="O55" s="4">
        <f>IFS(H55="Visitou",I55+1,H55="Fechado","—",AND(H55&lt;&gt;"Fechado",H55&lt;&gt;"Perdido",I55&lt;&gt;""),I55+3,TRUE,"")</f>
        <v/>
      </c>
      <c r="P55" s="4">
        <f>IFS(H55="Novo","Responder agora via WhatsApp",H55="Visitou","Enviar oferta de fechamento em 24h",H55="Fechado","Agendar pedido de review em 15 dias",H55="Perdido","Mover para lista de espera sazonal",TRUE,"Aguardando retorno do lead")</f>
        <v/>
      </c>
      <c r="Q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>
        <f>IFERROR(IF(H56="Novo",(NOW()-B56)*1440,""),"")</f>
        <v/>
      </c>
      <c r="K56" s="4">
        <f>IFS(H56&lt;&gt;"Novo","—",J56="","—",J56&gt;10,"🔴 ATRASADO",TRUE,"🟢 no prazo")</f>
        <v/>
      </c>
      <c r="L56" s="5" t="n"/>
      <c r="M56" s="4" t="n"/>
      <c r="N56" s="5">
        <f>IFERROR(IF(M56&gt;0,L56/M56,0),0)</f>
        <v/>
      </c>
      <c r="O56" s="4">
        <f>IFS(H56="Visitou",I56+1,H56="Fechado","—",AND(H56&lt;&gt;"Fechado",H56&lt;&gt;"Perdido",I56&lt;&gt;""),I56+3,TRUE,"")</f>
        <v/>
      </c>
      <c r="P56" s="4">
        <f>IFS(H56="Novo","Responder agora via WhatsApp",H56="Visitou","Enviar oferta de fechamento em 24h",H56="Fechado","Agendar pedido de review em 15 dias",H56="Perdido","Mover para lista de espera sazonal",TRUE,"Aguardando retorno do lead")</f>
        <v/>
      </c>
      <c r="Q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>
        <f>IFERROR(IF(H57="Novo",(NOW()-B57)*1440,""),"")</f>
        <v/>
      </c>
      <c r="K57" s="4">
        <f>IFS(H57&lt;&gt;"Novo","—",J57="","—",J57&gt;10,"🔴 ATRASADO",TRUE,"🟢 no prazo")</f>
        <v/>
      </c>
      <c r="L57" s="5" t="n"/>
      <c r="M57" s="4" t="n"/>
      <c r="N57" s="5">
        <f>IFERROR(IF(M57&gt;0,L57/M57,0),0)</f>
        <v/>
      </c>
      <c r="O57" s="4">
        <f>IFS(H57="Visitou",I57+1,H57="Fechado","—",AND(H57&lt;&gt;"Fechado",H57&lt;&gt;"Perdido",I57&lt;&gt;""),I57+3,TRUE,"")</f>
        <v/>
      </c>
      <c r="P57" s="4">
        <f>IFS(H57="Novo","Responder agora via WhatsApp",H57="Visitou","Enviar oferta de fechamento em 24h",H57="Fechado","Agendar pedido de review em 15 dias",H57="Perdido","Mover para lista de espera sazonal",TRUE,"Aguardando retorno do lead")</f>
        <v/>
      </c>
      <c r="Q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>
        <f>IFERROR(IF(H58="Novo",(NOW()-B58)*1440,""),"")</f>
        <v/>
      </c>
      <c r="K58" s="4">
        <f>IFS(H58&lt;&gt;"Novo","—",J58="","—",J58&gt;10,"🔴 ATRASADO",TRUE,"🟢 no prazo")</f>
        <v/>
      </c>
      <c r="L58" s="5" t="n"/>
      <c r="M58" s="4" t="n"/>
      <c r="N58" s="5">
        <f>IFERROR(IF(M58&gt;0,L58/M58,0),0)</f>
        <v/>
      </c>
      <c r="O58" s="4">
        <f>IFS(H58="Visitou",I58+1,H58="Fechado","—",AND(H58&lt;&gt;"Fechado",H58&lt;&gt;"Perdido",I58&lt;&gt;""),I58+3,TRUE,"")</f>
        <v/>
      </c>
      <c r="P58" s="4">
        <f>IFS(H58="Novo","Responder agora via WhatsApp",H58="Visitou","Enviar oferta de fechamento em 24h",H58="Fechado","Agendar pedido de review em 15 dias",H58="Perdido","Mover para lista de espera sazonal",TRUE,"Aguardando retorno do lead")</f>
        <v/>
      </c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>
        <f>IFERROR(IF(H59="Novo",(NOW()-B59)*1440,""),"")</f>
        <v/>
      </c>
      <c r="K59" s="4">
        <f>IFS(H59&lt;&gt;"Novo","—",J59="","—",J59&gt;10,"🔴 ATRASADO",TRUE,"🟢 no prazo")</f>
        <v/>
      </c>
      <c r="L59" s="5" t="n"/>
      <c r="M59" s="4" t="n"/>
      <c r="N59" s="5">
        <f>IFERROR(IF(M59&gt;0,L59/M59,0),0)</f>
        <v/>
      </c>
      <c r="O59" s="4">
        <f>IFS(H59="Visitou",I59+1,H59="Fechado","—",AND(H59&lt;&gt;"Fechado",H59&lt;&gt;"Perdido",I59&lt;&gt;""),I59+3,TRUE,"")</f>
        <v/>
      </c>
      <c r="P59" s="4">
        <f>IFS(H59="Novo","Responder agora via WhatsApp",H59="Visitou","Enviar oferta de fechamento em 24h",H59="Fechado","Agendar pedido de review em 15 dias",H59="Perdido","Mover para lista de espera sazonal",TRUE,"Aguardando retorno do lead")</f>
        <v/>
      </c>
      <c r="Q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>
        <f>IFERROR(IF(H60="Novo",(NOW()-B60)*1440,""),"")</f>
        <v/>
      </c>
      <c r="K60" s="4">
        <f>IFS(H60&lt;&gt;"Novo","—",J60="","—",J60&gt;10,"🔴 ATRASADO",TRUE,"🟢 no prazo")</f>
        <v/>
      </c>
      <c r="L60" s="5" t="n"/>
      <c r="M60" s="4" t="n"/>
      <c r="N60" s="5">
        <f>IFERROR(IF(M60&gt;0,L60/M60,0),0)</f>
        <v/>
      </c>
      <c r="O60" s="4">
        <f>IFS(H60="Visitou",I60+1,H60="Fechado","—",AND(H60&lt;&gt;"Fechado",H60&lt;&gt;"Perdido",I60&lt;&gt;""),I60+3,TRUE,"")</f>
        <v/>
      </c>
      <c r="P60" s="4">
        <f>IFS(H60="Novo","Responder agora via WhatsApp",H60="Visitou","Enviar oferta de fechamento em 24h",H60="Fechado","Agendar pedido de review em 15 dias",H60="Perdido","Mover para lista de espera sazonal",TRUE,"Aguardando retorno do lead")</f>
        <v/>
      </c>
      <c r="Q60" s="4" t="n"/>
    </row>
  </sheetData>
  <dataValidations count="3">
    <dataValidation sqref="H5:H60" showDropDown="0" showInputMessage="0" showErrorMessage="0" allowBlank="1" type="list">
      <formula1>"Novo,Respondido,Visita Agendada,Visitou,Proposta,Fechado,Perdido"</formula1>
    </dataValidation>
    <dataValidation sqref="E5:E60" showDropDown="0" showInputMessage="0" showErrorMessage="0" allowBlank="1" type="list">
      <formula1>"Meta Ads - Estudante,Meta Ads - Profissional,Google Ads,Google Maps,OLX,Airbnb,Grupo Facebook UFSC,Indicação,Outro"</formula1>
    </dataValidation>
    <dataValidation sqref="F5:F60" showDropDown="0" showInputMessage="0" showErrorMessage="0" allowBlank="1" type="list">
      <formula1>"Estudante,Profissional"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0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CONTROLE DE CAMPANHAS — Custo por Canal</t>
        </is>
      </c>
    </row>
    <row r="2">
      <c r="A2" s="2" t="inlineStr">
        <is>
          <t>Uma linha por canal/semana. Preencha só o Investimento — o resto vem da aba Leads.</t>
        </is>
      </c>
    </row>
    <row r="4">
      <c r="A4" s="3" t="inlineStr">
        <is>
          <t>Semana</t>
        </is>
      </c>
      <c r="B4" s="3" t="inlineStr">
        <is>
          <t>Canal</t>
        </is>
      </c>
      <c r="C4" s="3" t="inlineStr">
        <is>
          <t>Investimento (R$)</t>
        </is>
      </c>
      <c r="D4" s="3" t="inlineStr">
        <is>
          <t>Leads Gerados (auto)</t>
        </is>
      </c>
      <c r="E4" s="3" t="inlineStr">
        <is>
          <t>Contratos Fechados (auto)</t>
        </is>
      </c>
      <c r="F4" s="3" t="inlineStr">
        <is>
          <t>CPL (R$)</t>
        </is>
      </c>
      <c r="G4" s="3" t="inlineStr">
        <is>
          <t>CAC (R$)</t>
        </is>
      </c>
    </row>
    <row r="5">
      <c r="A5" s="4" t="n">
        <v>1</v>
      </c>
      <c r="B5" s="4" t="inlineStr">
        <is>
          <t>Meta Ads - Estudante</t>
        </is>
      </c>
      <c r="C5" s="5" t="n"/>
      <c r="D5" s="4">
        <f>COUNTIFS(Leads!$E$5:$E$200,B5)</f>
        <v/>
      </c>
      <c r="E5" s="4">
        <f>COUNTIFS(Leads!$E$5:$E$200,B5,Leads!$H$5:$H$200,"Fechado")</f>
        <v/>
      </c>
      <c r="F5" s="5">
        <f>IFERROR(IF(D5&gt;0,C5/D5,0),0)</f>
        <v/>
      </c>
      <c r="G5" s="5">
        <f>IFERROR(IF(E5&gt;0,C5/E5,0),0)</f>
        <v/>
      </c>
    </row>
    <row r="6">
      <c r="A6" s="4" t="n">
        <v>1</v>
      </c>
      <c r="B6" s="4" t="inlineStr">
        <is>
          <t>Meta Ads - Profissional</t>
        </is>
      </c>
      <c r="C6" s="5" t="n"/>
      <c r="D6" s="4">
        <f>COUNTIFS(Leads!$E$5:$E$200,B6)</f>
        <v/>
      </c>
      <c r="E6" s="4">
        <f>COUNTIFS(Leads!$E$5:$E$200,B6,Leads!$H$5:$H$200,"Fechado")</f>
        <v/>
      </c>
      <c r="F6" s="5">
        <f>IFERROR(IF(D6&gt;0,C6/D6,0),0)</f>
        <v/>
      </c>
      <c r="G6" s="5">
        <f>IFERROR(IF(E6&gt;0,C6/E6,0),0)</f>
        <v/>
      </c>
    </row>
    <row r="7">
      <c r="A7" s="4" t="n">
        <v>1</v>
      </c>
      <c r="B7" s="4" t="inlineStr">
        <is>
          <t>Google Ads</t>
        </is>
      </c>
      <c r="C7" s="5" t="n"/>
      <c r="D7" s="4">
        <f>COUNTIFS(Leads!$E$5:$E$200,B7)</f>
        <v/>
      </c>
      <c r="E7" s="4">
        <f>COUNTIFS(Leads!$E$5:$E$200,B7,Leads!$H$5:$H$200,"Fechado")</f>
        <v/>
      </c>
      <c r="F7" s="5">
        <f>IFERROR(IF(D7&gt;0,C7/D7,0),0)</f>
        <v/>
      </c>
      <c r="G7" s="5">
        <f>IFERROR(IF(E7&gt;0,C7/E7,0),0)</f>
        <v/>
      </c>
    </row>
    <row r="8">
      <c r="A8" s="4" t="n">
        <v>1</v>
      </c>
      <c r="B8" s="4" t="inlineStr">
        <is>
          <t>Google Maps</t>
        </is>
      </c>
      <c r="C8" s="5" t="n"/>
      <c r="D8" s="4">
        <f>COUNTIFS(Leads!$E$5:$E$200,B8)</f>
        <v/>
      </c>
      <c r="E8" s="4">
        <f>COUNTIFS(Leads!$E$5:$E$200,B8,Leads!$H$5:$H$200,"Fechado")</f>
        <v/>
      </c>
      <c r="F8" s="5">
        <f>IFERROR(IF(D8&gt;0,C8/D8,0),0)</f>
        <v/>
      </c>
      <c r="G8" s="5">
        <f>IFERROR(IF(E8&gt;0,C8/E8,0),0)</f>
        <v/>
      </c>
    </row>
    <row r="9">
      <c r="A9" s="4" t="n">
        <v>1</v>
      </c>
      <c r="B9" s="4" t="inlineStr">
        <is>
          <t>OLX</t>
        </is>
      </c>
      <c r="C9" s="5" t="n"/>
      <c r="D9" s="4">
        <f>COUNTIFS(Leads!$E$5:$E$200,B9)</f>
        <v/>
      </c>
      <c r="E9" s="4">
        <f>COUNTIFS(Leads!$E$5:$E$200,B9,Leads!$H$5:$H$200,"Fechado")</f>
        <v/>
      </c>
      <c r="F9" s="5">
        <f>IFERROR(IF(D9&gt;0,C9/D9,0),0)</f>
        <v/>
      </c>
      <c r="G9" s="5">
        <f>IFERROR(IF(E9&gt;0,C9/E9,0),0)</f>
        <v/>
      </c>
    </row>
    <row r="10">
      <c r="A10" s="4" t="n">
        <v>1</v>
      </c>
      <c r="B10" s="4" t="inlineStr">
        <is>
          <t>Airbnb</t>
        </is>
      </c>
      <c r="C10" s="5" t="n"/>
      <c r="D10" s="4">
        <f>COUNTIFS(Leads!$E$5:$E$200,B10)</f>
        <v/>
      </c>
      <c r="E10" s="4">
        <f>COUNTIFS(Leads!$E$5:$E$200,B10,Leads!$H$5:$H$200,"Fechado")</f>
        <v/>
      </c>
      <c r="F10" s="5">
        <f>IFERROR(IF(D10&gt;0,C10/D10,0),0)</f>
        <v/>
      </c>
      <c r="G10" s="5">
        <f>IFERROR(IF(E10&gt;0,C10/E10,0),0)</f>
        <v/>
      </c>
    </row>
    <row r="11">
      <c r="A11" s="4" t="n">
        <v>1</v>
      </c>
      <c r="B11" s="4" t="inlineStr">
        <is>
          <t>Grupo Facebook UFSC</t>
        </is>
      </c>
      <c r="C11" s="5" t="n"/>
      <c r="D11" s="4">
        <f>COUNTIFS(Leads!$E$5:$E$200,B11)</f>
        <v/>
      </c>
      <c r="E11" s="4">
        <f>COUNTIFS(Leads!$E$5:$E$200,B11,Leads!$H$5:$H$200,"Fechado")</f>
        <v/>
      </c>
      <c r="F11" s="5">
        <f>IFERROR(IF(D11&gt;0,C11/D11,0),0)</f>
        <v/>
      </c>
      <c r="G11" s="5">
        <f>IFERROR(IF(E11&gt;0,C11/E11,0),0)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PAINEL — Central de Leads &amp; Ocupação UFSC</t>
        </is>
      </c>
    </row>
    <row r="2">
      <c r="A2" s="2" t="inlineStr">
        <is>
          <t>Ocupação ao vivo da Planilha Central via IMPORTRANGE — clique em 'Permitir acesso' na 1ª abertura.</t>
        </is>
      </c>
    </row>
    <row r="4">
      <c r="A4" s="6" t="inlineStr">
        <is>
          <t>Vacância atual (unid.)</t>
        </is>
      </c>
      <c r="B4" s="4">
        <f>IMPORTRANGE("https://docs.google.com/spreadsheets/d/1wFoUCZaRPk2V1WbWyI0V4N5EC2yIZb2CNviOCPizaOQ","Dashboard Geral!D9")</f>
        <v/>
      </c>
    </row>
    <row r="5">
      <c r="A5" s="6" t="inlineStr">
        <is>
          <t>Receita mensal máx. do portfólio (R$)</t>
        </is>
      </c>
      <c r="B5" s="4">
        <f>IMPORTRANGE("https://docs.google.com/spreadsheets/d/1wFoUCZaRPk2V1WbWyI0V4N5EC2yIZb2CNviOCPizaOQ","Dashboard Geral!F9")</f>
        <v/>
      </c>
    </row>
    <row r="6">
      <c r="A6" s="6" t="inlineStr">
        <is>
          <t>Leads em atraso de SLA</t>
        </is>
      </c>
      <c r="B6" s="4">
        <f>COUNTIF(Leads!K5:K200,"🔴 ATRASADO")</f>
        <v/>
      </c>
    </row>
    <row r="7">
      <c r="A7" s="6" t="inlineStr">
        <is>
          <t>Leads no funil (ativos)</t>
        </is>
      </c>
      <c r="B7" s="4">
        <f>COUNTIFS(Leads!H5:H200,"&lt;&gt;Fechado",Leads!H5:H200,"&lt;&gt;Perdido",Leads!H5:H200,"&lt;&gt;")</f>
        <v/>
      </c>
    </row>
    <row r="8">
      <c r="A8" s="6" t="inlineStr">
        <is>
          <t>Contratos fechados no mês</t>
        </is>
      </c>
      <c r="B8" s="4">
        <f>COUNTIF(Leads!H5:H200,"Fechado")</f>
        <v/>
      </c>
    </row>
    <row r="9">
      <c r="A9" s="6" t="inlineStr">
        <is>
          <t>CAC médio (R$)</t>
        </is>
      </c>
      <c r="B9" s="4">
        <f>IFERROR(AVERAGEIF(Campanhas!G5:G11,"&gt;0"),0)</f>
        <v/>
      </c>
    </row>
    <row r="12">
      <c r="A12" s="6" t="inlineStr">
        <is>
          <t>Vacância por imóvel (ao vivo):</t>
        </is>
      </c>
    </row>
    <row r="13">
      <c r="A13" s="7" t="inlineStr">
        <is>
          <t>Imóvel</t>
        </is>
      </c>
      <c r="B13" s="7" t="inlineStr">
        <is>
          <t>Unidades</t>
        </is>
      </c>
      <c r="C13" s="7" t="inlineStr">
        <is>
          <t>Vacantes</t>
        </is>
      </c>
    </row>
    <row r="14">
      <c r="A14" t="inlineStr">
        <is>
          <t>Pottker 25</t>
        </is>
      </c>
      <c r="B14">
        <f>IMPORTRANGE("https://docs.google.com/spreadsheets/d/1wFoUCZaRPk2V1WbWyI0V4N5EC2yIZb2CNviOCPizaOQ","Dashboard Geral!C6")</f>
        <v/>
      </c>
      <c r="C14">
        <f>IMPORTRANGE("https://docs.google.com/spreadsheets/d/1wFoUCZaRPk2V1WbWyI0V4N5EC2yIZb2CNviOCPizaOQ","Dashboard Geral!D6")</f>
        <v/>
      </c>
    </row>
    <row r="15">
      <c r="A15" t="inlineStr">
        <is>
          <t>Milton Sullivan 142</t>
        </is>
      </c>
      <c r="B15">
        <f>IMPORTRANGE("https://docs.google.com/spreadsheets/d/1wFoUCZaRPk2V1WbWyI0V4N5EC2yIZb2CNviOCPizaOQ","Dashboard Geral!C7")</f>
        <v/>
      </c>
      <c r="C15">
        <f>IMPORTRANGE("https://docs.google.com/spreadsheets/d/1wFoUCZaRPk2V1WbWyI0V4N5EC2yIZb2CNviOCPizaOQ","Dashboard Geral!D7")</f>
        <v/>
      </c>
    </row>
    <row r="16">
      <c r="A16" t="inlineStr">
        <is>
          <t>Ana Maria Nunes 214</t>
        </is>
      </c>
      <c r="B16">
        <f>IMPORTRANGE("https://docs.google.com/spreadsheets/d/1wFoUCZaRPk2V1WbWyI0V4N5EC2yIZb2CNviOCPizaOQ","Dashboard Geral!C8")</f>
        <v/>
      </c>
      <c r="C16">
        <f>IMPORTRANGE("https://docs.google.com/spreadsheets/d/1wFoUCZaRPk2V1WbWyI0V4N5EC2yIZb2CNviOCPizaOQ","Dashboard Geral!D8")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COMO USAR ESTA PLANILHA</t>
        </is>
      </c>
    </row>
    <row r="3" ht="30" customHeight="1">
      <c r="A3" s="8" t="inlineStr">
        <is>
          <t>1. Aba Leads: a cada novo lead, preencha A–I na primeira linha vazia (L e M com o investimento e nº de leads da campanha do dia, para o CPL).</t>
        </is>
      </c>
    </row>
    <row r="4" ht="30" customHeight="1">
      <c r="A4" s="8" t="inlineStr">
        <is>
          <t>2. Coluna K (Alerta_SLA) marca sozinha 🔴 se um lead 'Novo' passar de 10 minutos sem virar 'Respondido'.</t>
        </is>
      </c>
    </row>
    <row r="5" ht="30" customHeight="1">
      <c r="A5" s="8" t="inlineStr">
        <is>
          <t>3. Coluna O (Próximo_Follow_Up) calcula a data do próximo contato — 24h após 'Visitou', 3 dias nos demais estágios.</t>
        </is>
      </c>
    </row>
    <row r="6" ht="30" customHeight="1">
      <c r="A6" s="8" t="inlineStr">
        <is>
          <t>4. Aba Campanhas: preencha só Investimento (R$) — leads, contratos, CPL e CAC vêm sozinhos da aba Leads.</t>
        </is>
      </c>
    </row>
    <row r="7" ht="30" customHeight="1">
      <c r="A7" s="8" t="inlineStr">
        <is>
          <t>5. Aba Painel: na 1ª abertura o Sheets pede autorização do IMPORTRANGE — clique em 'Permitir acesso'.</t>
        </is>
      </c>
    </row>
    <row r="8" ht="30" customHeight="1">
      <c r="A8" s="8" t="inlineStr">
        <is>
          <t>6. Alertas automáticos por e-mail: instale o Apps Script (arquivo 'AppsScript-Kitnets-UFSC.txt' na mesma pasta do Drive) em Extensões &gt; Apps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2026-07-19T03:48:26Z</dcterms:created>
  <dcterms:modified xmlns:dcterms="http://purl.org/dc/terms/" xmlns:xsi="http://www.w3.org/2001/XMLSchema-instance" xsi:type="dcterms:W3CDTF">2026-07-19T03:48:26Z</dcterms:modified>
</cp:coreProperties>
</file>